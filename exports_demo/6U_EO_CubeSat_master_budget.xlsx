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Power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Cost WBS" sheetId="4" state="visible" r:id="rId4"/>
    <sheet xmlns:r="http://schemas.openxmlformats.org/officeDocument/2006/relationships" name="Compli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Subsystem</t>
        </is>
      </c>
      <c r="B1" s="1" t="inlineStr">
        <is>
          <t>Equipment</t>
        </is>
      </c>
      <c r="C1" s="1" t="inlineStr">
        <is>
          <t>Nominal_kg</t>
        </is>
      </c>
      <c r="D1" s="1" t="inlineStr">
        <is>
          <t>Margin_Pct</t>
        </is>
      </c>
      <c r="E1" s="1" t="inlineStr">
        <is>
          <t>With_Margin_kg</t>
        </is>
      </c>
    </row>
    <row r="2">
      <c r="A2" t="inlineStr">
        <is>
          <t>payload</t>
        </is>
      </c>
      <c r="B2" t="inlineStr">
        <is>
          <t>Payload Multispectral Imager Mass</t>
        </is>
      </c>
      <c r="C2" t="n">
        <v>1.5</v>
      </c>
      <c r="D2" t="n">
        <v>10</v>
      </c>
      <c r="E2">
        <f>C2*(1+D2/100)</f>
        <v/>
      </c>
    </row>
    <row r="3">
      <c r="A3" t="inlineStr">
        <is>
          <t>aocs</t>
        </is>
      </c>
      <c r="B3" t="inlineStr">
        <is>
          <t>AOCS Mass</t>
        </is>
      </c>
      <c r="C3" t="n">
        <v>2.0400001594323</v>
      </c>
      <c r="D3" t="n">
        <v>20</v>
      </c>
      <c r="E3">
        <f>C3*(1+D3/100)</f>
        <v/>
      </c>
    </row>
    <row r="4">
      <c r="A4" t="inlineStr">
        <is>
          <t>structure</t>
        </is>
      </c>
      <c r="B4" t="inlineStr">
        <is>
          <t>Structure Mass</t>
        </is>
      </c>
      <c r="C4" t="n">
        <v>0.9900290799072</v>
      </c>
      <c r="D4" t="n">
        <v>20</v>
      </c>
      <c r="E4">
        <f>C4*(1+D4/100)</f>
        <v/>
      </c>
    </row>
    <row r="5">
      <c r="A5" s="2" t="inlineStr">
        <is>
          <t>TOTAL</t>
        </is>
      </c>
      <c r="C5" s="2">
        <f>SUM(C2:C4)</f>
        <v/>
      </c>
      <c r="E5" s="2">
        <f>SUM(E2:E4)</f>
        <v/>
      </c>
    </row>
    <row r="7">
      <c r="A7" s="2" t="inlineStr">
        <is>
          <t>Allocation (kg)</t>
        </is>
      </c>
      <c r="C7" t="n">
        <v>12</v>
      </c>
    </row>
    <row r="8">
      <c r="A8" s="2" t="inlineStr">
        <is>
          <t>Margin %</t>
        </is>
      </c>
      <c r="C8" t="n">
        <v>55.949707606605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Subsystem</t>
        </is>
      </c>
      <c r="B1" s="1" t="inlineStr">
        <is>
          <t>Equipment</t>
        </is>
      </c>
      <c r="C1" s="1" t="inlineStr">
        <is>
          <t>Nominal_W</t>
        </is>
      </c>
      <c r="D1" s="1" t="inlineStr">
        <is>
          <t>Margin_Pct</t>
        </is>
      </c>
      <c r="E1" s="1" t="inlineStr">
        <is>
          <t>With_Margin_W</t>
        </is>
      </c>
      <c r="F1" s="1" t="inlineStr">
        <is>
          <t>Sunlight_W</t>
        </is>
      </c>
      <c r="G1" s="1" t="inlineStr">
        <is>
          <t>Eclipse_W</t>
        </is>
      </c>
    </row>
    <row r="2">
      <c r="A2" t="inlineStr">
        <is>
          <t>payload</t>
        </is>
      </c>
      <c r="B2" t="inlineStr">
        <is>
          <t>Payload Multispectral Imager Power</t>
        </is>
      </c>
      <c r="C2" t="n">
        <v>20</v>
      </c>
      <c r="D2" t="n">
        <v>10</v>
      </c>
      <c r="E2">
        <f>C2*(1+D2/100)</f>
        <v/>
      </c>
      <c r="F2" t="n">
        <v>20</v>
      </c>
      <c r="G2" t="n">
        <v>12</v>
      </c>
    </row>
    <row r="3">
      <c r="A3" t="inlineStr">
        <is>
          <t>aocs</t>
        </is>
      </c>
      <c r="B3" t="inlineStr">
        <is>
          <t>AOCS Power</t>
        </is>
      </c>
      <c r="C3" t="n">
        <v>15</v>
      </c>
      <c r="D3" t="n">
        <v>20</v>
      </c>
      <c r="E3">
        <f>C3*(1+D3/100)</f>
        <v/>
      </c>
      <c r="F3" t="n">
        <v>15</v>
      </c>
      <c r="G3" t="n">
        <v>9</v>
      </c>
    </row>
    <row r="4">
      <c r="A4" s="2" t="inlineStr">
        <is>
          <t>TOTAL</t>
        </is>
      </c>
      <c r="C4" s="2">
        <f>SUM(C2:C3)</f>
        <v/>
      </c>
      <c r="E4" s="2">
        <f>SUM(E2:E3)</f>
        <v/>
      </c>
      <c r="F4" s="2">
        <f>SUM(F2:F3)</f>
        <v/>
      </c>
      <c r="G4" s="2">
        <f>SUM(G2:G3)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Subsystem</t>
        </is>
      </c>
      <c r="B1" s="1" t="inlineStr">
        <is>
          <t>Source</t>
        </is>
      </c>
      <c r="C1" s="1" t="inlineStr">
        <is>
          <t>Generated_GB</t>
        </is>
      </c>
      <c r="D1" s="1" t="inlineStr">
        <is>
          <t>Stored_GB</t>
        </is>
      </c>
      <c r="E1" s="1" t="inlineStr">
        <is>
          <t>Downlinked_GB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WBS_ID</t>
        </is>
      </c>
      <c r="B1" s="1" t="inlineStr">
        <is>
          <t>Name</t>
        </is>
      </c>
      <c r="C1" s="1" t="inlineStr">
        <is>
          <t>DDTE_kEUR</t>
        </is>
      </c>
      <c r="D1" s="1" t="inlineStr">
        <is>
          <t>Recurring_kEUR</t>
        </is>
      </c>
      <c r="E1" s="1" t="inlineStr">
        <is>
          <t>Total_kEUR</t>
        </is>
      </c>
    </row>
    <row r="2">
      <c r="A2" t="inlineStr">
        <is>
          <t>1.1</t>
        </is>
      </c>
      <c r="B2" t="inlineStr">
        <is>
          <t>Spacecraft hardware</t>
        </is>
      </c>
      <c r="C2" t="n">
        <v>31.71</v>
      </c>
      <c r="D2" t="n">
        <v>151</v>
      </c>
      <c r="E2">
        <f>C2+D2</f>
        <v/>
      </c>
    </row>
    <row r="3">
      <c r="A3" t="inlineStr">
        <is>
          <t>1.2</t>
        </is>
      </c>
      <c r="B3" t="inlineStr">
        <is>
          <t>AIT</t>
        </is>
      </c>
      <c r="C3" t="n">
        <v>9.06</v>
      </c>
      <c r="D3" t="n">
        <v>18.12</v>
      </c>
      <c r="E3">
        <f>C3+D3</f>
        <v/>
      </c>
    </row>
    <row r="4">
      <c r="A4" t="inlineStr">
        <is>
          <t>1.3</t>
        </is>
      </c>
      <c r="B4" t="inlineStr">
        <is>
          <t>Ground segment &amp; ops</t>
        </is>
      </c>
      <c r="C4" t="n">
        <v>4.53</v>
      </c>
      <c r="D4" t="n">
        <v>300</v>
      </c>
      <c r="E4">
        <f>C4+D4</f>
        <v/>
      </c>
    </row>
    <row r="5">
      <c r="A5" t="inlineStr">
        <is>
          <t>1.4</t>
        </is>
      </c>
      <c r="B5" t="inlineStr">
        <is>
          <t>Launch service</t>
        </is>
      </c>
      <c r="C5" t="n">
        <v>0</v>
      </c>
      <c r="D5" t="n">
        <v>200</v>
      </c>
      <c r="E5">
        <f>C5+D5</f>
        <v/>
      </c>
    </row>
    <row r="6">
      <c r="A6" s="2" t="inlineStr">
        <is>
          <t>TOTAL</t>
        </is>
      </c>
      <c r="C6" s="2">
        <f>SUBTOTAL(9,C2:C5)</f>
        <v/>
      </c>
      <c r="D6" s="2">
        <f>SUBTOTAL(9,D2:D5)</f>
        <v/>
      </c>
      <c r="E6" s="2">
        <f>SUBTOTAL(9,E2:E5)</f>
        <v/>
      </c>
    </row>
    <row r="8">
      <c r="A8" s="2" t="inlineStr">
        <is>
          <t>Risk Percentiles (kEUR)</t>
        </is>
      </c>
    </row>
    <row r="9">
      <c r="A9" t="inlineStr">
        <is>
          <t>P50</t>
        </is>
      </c>
      <c r="B9" t="n">
        <v>0</v>
      </c>
    </row>
    <row r="10">
      <c r="A10" t="inlineStr">
        <is>
          <t>P70</t>
        </is>
      </c>
      <c r="B10" t="n">
        <v>0</v>
      </c>
    </row>
    <row r="11">
      <c r="A11" t="inlineStr">
        <is>
          <t>P80</t>
        </is>
      </c>
      <c r="B11" t="n">
        <v>0</v>
      </c>
    </row>
    <row r="12">
      <c r="A12" t="inlineStr">
        <is>
          <t>P90</t>
        </is>
      </c>
      <c r="B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Requirement_ID</t>
        </is>
      </c>
      <c r="B1" s="1" t="inlineStr">
        <is>
          <t>Description</t>
        </is>
      </c>
      <c r="C1" s="1" t="inlineStr">
        <is>
          <t>Threshold</t>
        </is>
      </c>
      <c r="D1" s="1" t="inlineStr">
        <is>
          <t>Achieved</t>
        </is>
      </c>
      <c r="E1" s="1" t="inlineStr">
        <is>
          <t>Margin_Pct</t>
        </is>
      </c>
      <c r="F1" s="1" t="inlineStr">
        <is>
          <t>Status</t>
        </is>
      </c>
    </row>
    <row r="2">
      <c r="A2" t="inlineStr">
        <is>
          <t>REQ-SYS-001</t>
        </is>
      </c>
      <c r="B2" t="inlineStr">
        <is>
          <t>The spacecraft shall have a design lifetime of at least 3.0 years</t>
        </is>
      </c>
      <c r="C2" t="n">
        <v>3</v>
      </c>
      <c r="D2" t="n">
        <v>3</v>
      </c>
      <c r="E2" t="n">
        <v>0</v>
      </c>
      <c r="F2" s="3" t="inlineStr">
        <is>
          <t>MARGINAL</t>
        </is>
      </c>
    </row>
    <row r="3">
      <c r="A3" t="inlineStr">
        <is>
          <t>REQ-SYS-002</t>
        </is>
      </c>
      <c r="B3" t="inlineStr">
        <is>
          <t>The spacecraft wet mass shall not exceed 12.0 kg</t>
        </is>
      </c>
      <c r="C3" t="n">
        <v>12</v>
      </c>
      <c r="D3" t="n">
        <v>7.030546137829001</v>
      </c>
      <c r="E3" t="n">
        <v>41.41211551809166</v>
      </c>
      <c r="F3" s="4" t="inlineStr">
        <is>
          <t>COMPLIANT</t>
        </is>
      </c>
    </row>
    <row r="4">
      <c r="A4" t="inlineStr">
        <is>
          <t>REQ-SYS-003</t>
        </is>
      </c>
      <c r="B4" t="inlineStr">
        <is>
          <t>The total mission cost shall not exceed 5.0 MEUR</t>
        </is>
      </c>
      <c r="C4" t="n">
        <v>5</v>
      </c>
      <c r="D4" t="n">
        <v>0.7</v>
      </c>
      <c r="E4" t="n">
        <v>86</v>
      </c>
      <c r="F4" s="4" t="inlineStr">
        <is>
          <t>COMPLIANT</t>
        </is>
      </c>
    </row>
    <row r="5">
      <c r="A5" t="inlineStr">
        <is>
          <t>REQ-AOCS-001</t>
        </is>
      </c>
      <c r="B5" t="inlineStr">
        <is>
          <t>The spacecraft shall provide pointing accuracy of 0.1° or better for Multispectral Imager</t>
        </is>
      </c>
      <c r="C5" t="n">
        <v>0.1</v>
      </c>
      <c r="D5" t="n">
        <v>0.1</v>
      </c>
      <c r="E5" t="n">
        <v>0</v>
      </c>
      <c r="F5" s="3" t="inlineStr">
        <is>
          <t>MARGINAL</t>
        </is>
      </c>
    </row>
    <row r="6">
      <c r="A6" t="inlineStr">
        <is>
          <t>REQ-DATA-001</t>
        </is>
      </c>
      <c r="B6" t="inlineStr">
        <is>
          <t>The communication system shall support downlink of Multispectral Imager data at 100.0 Mbps or equivalent daily volume</t>
        </is>
      </c>
      <c r="C6" t="n">
        <v>0</v>
      </c>
      <c r="D6" t="n">
        <v>2</v>
      </c>
      <c r="E6" t="n">
        <v>20</v>
      </c>
      <c r="F6" s="3" t="inlineStr">
        <is>
          <t>MARGINAL</t>
        </is>
      </c>
    </row>
    <row r="7">
      <c r="A7" t="inlineStr">
        <is>
          <t>REQ-PWR-001</t>
        </is>
      </c>
      <c r="B7" t="inlineStr">
        <is>
          <t>The EPS shall provide positive power margin in all operating modes including eclipse</t>
        </is>
      </c>
      <c r="C7" t="n">
        <v>0</v>
      </c>
      <c r="D7" t="n">
        <v>70.90000000000001</v>
      </c>
      <c r="E7" t="n">
        <v>100</v>
      </c>
      <c r="F7" s="4" t="inlineStr">
        <is>
          <t>COMPLIANT</t>
        </is>
      </c>
    </row>
    <row r="8">
      <c r="A8" t="inlineStr">
        <is>
          <t>REQ-TTC-001</t>
        </is>
      </c>
      <c r="B8" t="inlineStr">
        <is>
          <t>The communication link shall close with at least 3 dB margin at minimum elevation</t>
        </is>
      </c>
      <c r="C8" t="n">
        <v>3</v>
      </c>
      <c r="D8" t="n">
        <v>7.7</v>
      </c>
      <c r="E8" t="n">
        <v>156.6666666666667</v>
      </c>
      <c r="F8" s="4" t="inlineStr">
        <is>
          <t>COMPLIANT</t>
        </is>
      </c>
    </row>
    <row r="9">
      <c r="A9" t="inlineStr">
        <is>
          <t>REQ-SYS-004</t>
        </is>
      </c>
      <c r="B9" t="inlineStr">
        <is>
          <t>The spacecraft shall be capable of deorbiting within 25 years of end-of-mission per space debris mitigation guidelines</t>
        </is>
      </c>
      <c r="C9" t="n">
        <v>0</v>
      </c>
      <c r="D9" t="n">
        <v>71.68868440534516</v>
      </c>
      <c r="E9" t="n">
        <v>100</v>
      </c>
      <c r="F9" s="4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2026-05-12T00:12:49Z</dcterms:created>
  <dcterms:modified xmlns:dcterms="http://purl.org/dc/terms/" xmlns:xsi="http://www.w3.org/2001/XMLSchema-instance" xsi:type="dcterms:W3CDTF">2026-05-12T00:12:49Z</dcterms:modified>
</cp:coreProperties>
</file>